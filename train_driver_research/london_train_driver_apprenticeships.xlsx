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Operators" sheetId="2" state="visible" r:id="rId2"/>
    <sheet name="Pay ladder" sheetId="3" state="visible" r:id="rId3"/>
    <sheet name="Process" sheetId="4" state="visible" r:id="rId4"/>
    <sheet name="Requirements &amp; info" sheetId="5" state="visible" r:id="rId5"/>
    <sheet name="Sources" sheetId="6" state="visible" r:id="rId6"/>
  </sheets>
  <definedNames>
    <definedName name="_xlnm._FilterDatabase" localSheetId="1" hidden="1">'Operators'!$A$1:$N$16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8">
    <font>
      <name val="Calibri"/>
      <family val="2"/>
      <color theme="1"/>
      <sz val="11"/>
      <scheme val="minor"/>
    </font>
    <font>
      <b val="1"/>
      <color rgb="001F3A5F"/>
      <sz val="18"/>
    </font>
    <font>
      <i val="1"/>
      <color rgb="00666666"/>
    </font>
    <font>
      <b val="1"/>
      <color rgb="001F3A5F"/>
      <sz val="13"/>
    </font>
    <font>
      <b val="1"/>
    </font>
    <font>
      <name val="Calibri"/>
      <b val="1"/>
      <color rgb="00FFFFFF"/>
      <sz val="11"/>
    </font>
    <font>
      <color rgb="000563C1"/>
      <u val="single"/>
    </font>
    <font>
      <i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7" fillId="0" borderId="0" pivotButton="0" quotePrefix="0" xfId="0"/>
    <xf numFmtId="164" fontId="0" fillId="0" borderId="1" pivotButton="0" quotePrefix="0" xfId="0"/>
    <xf numFmtId="9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Start vs qualified salary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'Pay ladder'!B1</f>
            </strRef>
          </tx>
          <spPr>
            <a:ln>
              <a:prstDash val="solid"/>
            </a:ln>
          </spPr>
          <cat>
            <numRef>
              <f>'Pay ladder'!$A$2:$A$9</f>
            </numRef>
          </cat>
          <val>
            <numRef>
              <f>'Pay ladder'!$B$2:$B$9</f>
            </numRef>
          </val>
        </ser>
        <ser>
          <idx val="1"/>
          <order val="1"/>
          <tx>
            <strRef>
              <f>'Pay ladder'!C1</f>
            </strRef>
          </tx>
          <spPr>
            <a:ln>
              <a:prstDash val="solid"/>
            </a:ln>
          </spPr>
          <cat>
            <numRef>
              <f>'Pay ladder'!$A$2:$A$9</f>
            </numRef>
          </cat>
          <val>
            <numRef>
              <f>'Pay ladder'!$C$2:$C$9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£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s.southeasternrailway.co.uk/" TargetMode="External" Id="rId1" /><Relationship Type="http://schemas.openxmlformats.org/officeDocument/2006/relationships/hyperlink" Target="https://careers.gtsr.co.uk/" TargetMode="External" Id="rId2" /><Relationship Type="http://schemas.openxmlformats.org/officeDocument/2006/relationships/hyperlink" Target="https://tfl.gov.uk/corporate/careers/" TargetMode="External" Id="rId3" /><Relationship Type="http://schemas.openxmlformats.org/officeDocument/2006/relationships/hyperlink" Target="https://careers.c2c-online.co.uk/" TargetMode="External" Id="rId4" /><Relationship Type="http://schemas.openxmlformats.org/officeDocument/2006/relationships/hyperlink" Target="https://careers.southwesternrailway.com/" TargetMode="External" Id="rId5" /><Relationship Type="http://schemas.openxmlformats.org/officeDocument/2006/relationships/hyperlink" Target="https://www.gtrailwaycareers.com/" TargetMode="External" Id="rId6" /><Relationship Type="http://schemas.openxmlformats.org/officeDocument/2006/relationships/hyperlink" Target="https://www.chilternrailways.co.uk/careers" TargetMode="External" Id="rId7" /><Relationship Type="http://schemas.openxmlformats.org/officeDocument/2006/relationships/hyperlink" Target="https://careers.firstgroup.co.uk/" TargetMode="External" Id="rId8" /><Relationship Type="http://schemas.openxmlformats.org/officeDocument/2006/relationships/hyperlink" Target="https://www.eastmidlandsrailway.co.uk/careers" TargetMode="External" Id="rId9" /><Relationship Type="http://schemas.openxmlformats.org/officeDocument/2006/relationships/hyperlink" Target="https://www.lnerjobs.co.uk/jobs/apprenticeships/" TargetMode="External" Id="rId10" /><Relationship Type="http://schemas.openxmlformats.org/officeDocument/2006/relationships/hyperlink" Target="https://www.avantiwestcoast.co.uk/careers" TargetMode="External" Id="rId11" /><Relationship Type="http://schemas.openxmlformats.org/officeDocument/2006/relationships/hyperlink" Target="https://careers.firstgroup.co.uk/" TargetMode="External" Id="rId12" /><Relationship Type="http://schemas.openxmlformats.org/officeDocument/2006/relationships/hyperlink" Target="https://apply.greateranglia.co.uk/" TargetMode="External" Id="rId13" /><Relationship Type="http://schemas.openxmlformats.org/officeDocument/2006/relationships/hyperlink" Target="https://db.jobs/" TargetMode="External" Id="rId14" /><Relationship Type="http://schemas.openxmlformats.org/officeDocument/2006/relationships/hyperlink" Target="https://careers.gbrailfreight.com/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jobs.southeasternrailway.co.uk/jobs/job/Trainee-Train-Driver/2293" TargetMode="External" Id="rId1" /><Relationship Type="http://schemas.openxmlformats.org/officeDocument/2006/relationships/hyperlink" Target="https://www.lnerjobs.co.uk/jobs/apprenticeships/" TargetMode="External" Id="rId2" /><Relationship Type="http://schemas.openxmlformats.org/officeDocument/2006/relationships/hyperlink" Target="https://instituteforapprenticeships.org/media/1901/st0645_train-driver_l3_updated-07-06-18-clean.pdf" TargetMode="External" Id="rId3" /><Relationship Type="http://schemas.openxmlformats.org/officeDocument/2006/relationships/hyperlink" Target="https://www.eastmidlandsrailway.co.uk/careers" TargetMode="External" Id="rId4" /><Relationship Type="http://schemas.openxmlformats.org/officeDocument/2006/relationships/hyperlink" Target="https://www.ianvisits.co.uk/articles/fancy-training-as-a-train-driver-40311/" TargetMode="External" Id="rId5" /><Relationship Type="http://schemas.openxmlformats.org/officeDocument/2006/relationships/hyperlink" Target="https://careers.gtsr.co.uk/" TargetMode="External" Id="rId6" /><Relationship Type="http://schemas.openxmlformats.org/officeDocument/2006/relationships/hyperlink" Target="https://tfl.gov.uk/corporate/careers/" TargetMode="External" Id="rId7" /><Relationship Type="http://schemas.openxmlformats.org/officeDocument/2006/relationships/hyperlink" Target="https://careers.c2c-online.co.uk/" TargetMode="External" Id="rId8" /><Relationship Type="http://schemas.openxmlformats.org/officeDocument/2006/relationships/hyperlink" Target="https://careers.southwesternrailway.com/" TargetMode="External" Id="rId9" /><Relationship Type="http://schemas.openxmlformats.org/officeDocument/2006/relationships/hyperlink" Target="https://www.railforums.co.uk/threads/chiltern-apprentice-train-driver-recruitment-discussion.281912/" TargetMode="External" Id="rId10" /><Relationship Type="http://schemas.openxmlformats.org/officeDocument/2006/relationships/hyperlink" Target="https://careers.firstgroup.co.uk/" TargetMode="External" Id="rId11" /><Relationship Type="http://schemas.openxmlformats.org/officeDocument/2006/relationships/hyperlink" Target="https://careers.gbrailfreight.com/" TargetMode="External" Id="rId12" /><Relationship Type="http://schemas.openxmlformats.org/officeDocument/2006/relationships/hyperlink" Target="https://salarytax.uk/professions/train-driver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Train driver apprenticeships – London</t>
        </is>
      </c>
    </row>
    <row r="2">
      <c r="A2" s="2" t="inlineStr">
        <is>
          <t>Research compiled 4 Oct 2026 from operators' careers pages, job adverts and rail-industry sources</t>
        </is>
      </c>
    </row>
    <row r="4">
      <c r="A4" s="3" t="inlineStr">
        <is>
          <t>The headline</t>
        </is>
      </c>
      <c r="B4" s="4" t="inlineStr"/>
    </row>
    <row r="5">
      <c r="A5" s="5" t="inlineStr">
        <is>
          <t>• Pay</t>
        </is>
      </c>
      <c r="B5" s="4" t="inlineStr">
        <is>
          <t>Trainees start on roughly £27k–£40k and jump to roughly £55k–£80k once qualified – one of the best-paid routes in the UK for someone without a degree.</t>
        </is>
      </c>
    </row>
    <row r="6">
      <c r="A6" s="5" t="inlineStr">
        <is>
          <t>• Time to qualify</t>
        </is>
      </c>
      <c r="B6" s="4" t="inlineStr">
        <is>
          <t>Almost everywhere: 12–18 months, delivered as a Level 3 Train Driver apprenticeship (ends with an independent End-Point Assessment).</t>
        </is>
      </c>
    </row>
    <row r="7">
      <c r="A7" s="5" t="inlineStr">
        <is>
          <t>• Qualifications</t>
        </is>
      </c>
      <c r="B7" s="4" t="inlineStr">
        <is>
          <t>Usually NO degree or A-levels. Some employers want GCSE English &amp; maths (grade 4/C+); several take applicants with no formal qualifications at all.</t>
        </is>
      </c>
    </row>
    <row r="8">
      <c r="A8" s="5" t="inlineStr">
        <is>
          <t>• Age</t>
        </is>
      </c>
      <c r="B8" s="4" t="inlineStr">
        <is>
          <t>Varies by employer: 17y9m–18 (EMR, LNER), 20 (Southeastern), 21 (GTR, GWR – older adverts). Always check the live advert.</t>
        </is>
      </c>
    </row>
    <row r="9">
      <c r="A9" s="5" t="inlineStr">
        <is>
          <t>• Deadlines</t>
        </is>
      </c>
      <c r="B9" s="4" t="inlineStr">
        <is>
          <t>There is NO fixed annual cycle. Operators open short 1–3 week windows (often closing early if swamped). Register for job alerts on every site below.</t>
        </is>
      </c>
    </row>
    <row r="10">
      <c r="A10" s="5" t="inlineStr">
        <is>
          <t>• Gate-keepers</t>
        </is>
      </c>
      <c r="B10" s="4" t="inlineStr">
        <is>
          <t>A rail-specific psychometric test battery and a Train Driver medical (TDLCR) – including eyesight, hearing, colour vision and drugs/alcohol screening.</t>
        </is>
      </c>
    </row>
    <row r="11">
      <c r="A11" s="5" t="inlineStr"/>
      <c r="B11" s="4" t="inlineStr"/>
    </row>
    <row r="12">
      <c r="A12" s="3" t="inlineStr">
        <is>
          <t>How to use this workbook</t>
        </is>
      </c>
      <c r="B12" s="4" t="inlineStr"/>
    </row>
    <row r="13">
      <c r="A13" s="5" t="inlineStr">
        <is>
          <t>• Operators</t>
        </is>
      </c>
      <c r="B13" s="4" t="inlineStr">
        <is>
          <t>One row per employer: pay, age, location, length, deadlines, careers link.</t>
        </is>
      </c>
    </row>
    <row r="14">
      <c r="A14" s="5" t="inlineStr">
        <is>
          <t>• Pay ladder</t>
        </is>
      </c>
      <c r="B14" s="4" t="inlineStr">
        <is>
          <t>Chart-ready salary comparison with calculated uplift.</t>
        </is>
      </c>
    </row>
    <row r="15">
      <c r="A15" s="5" t="inlineStr">
        <is>
          <t>• Process</t>
        </is>
      </c>
      <c r="B15" s="4" t="inlineStr">
        <is>
          <t>Typical recruitment stages, with the real EMR process as a worked example.</t>
        </is>
      </c>
    </row>
    <row r="16">
      <c r="A16" s="5" t="inlineStr">
        <is>
          <t>• Requirements</t>
        </is>
      </c>
      <c r="B16" s="4" t="inlineStr">
        <is>
          <t>Eligibility, medical and psychometric info + tips for preparing.</t>
        </is>
      </c>
    </row>
    <row r="17">
      <c r="A17" s="5" t="inlineStr">
        <is>
          <t>• Sources</t>
        </is>
      </c>
      <c r="B17" s="4" t="inlineStr">
        <is>
          <t>Where every figure came from.</t>
        </is>
      </c>
    </row>
    <row r="18">
      <c r="A18" s="5" t="inlineStr"/>
      <c r="B18" s="4" t="inlineStr"/>
    </row>
    <row r="19">
      <c r="A19" s="3" t="inlineStr">
        <is>
          <t>Important caveats – please read</t>
        </is>
      </c>
      <c r="B19" s="4" t="inlineStr"/>
    </row>
    <row r="20">
      <c r="A20" s="5" t="inlineStr">
        <is>
          <t>1.</t>
        </is>
      </c>
      <c r="B20" s="4" t="inlineStr">
        <is>
          <t>Many operators' careers sites block automated access. Only Southeastern and LNER pages were read in full. Other rows come from job-advert snippets, press and forums, and some are 1–2 years old. See the 'Confidence' column (High / Medium / Low).</t>
        </is>
      </c>
    </row>
    <row r="21">
      <c r="A21" s="5" t="inlineStr">
        <is>
          <t>2.</t>
        </is>
      </c>
      <c r="B21" s="4" t="inlineStr">
        <is>
          <t>Salaries change with each pay deal and each advert. Treat the numbers as indicative and confirm on the live advert before relying on them.</t>
        </is>
      </c>
    </row>
    <row r="22">
      <c r="A22" s="5" t="inlineStr">
        <is>
          <t>3.</t>
        </is>
      </c>
      <c r="B22" s="4" t="inlineStr">
        <is>
          <t>Salaries marked 'London weighting' / allowances are quoted base unless stated.</t>
        </is>
      </c>
    </row>
    <row r="23">
      <c r="A23" s="5" t="inlineStr">
        <is>
          <t>4.</t>
        </is>
      </c>
      <c r="B23" s="4" t="inlineStr">
        <is>
          <t>4 Oct 2026 live check: the government Find an Apprenticeship service shows 0 train driver apprenticeships within 40 miles of London, and SWR and Elizabeth line (GTS) list no open driver vacancies – only talent pools. Several operators (TfL, East Midlands, London Northwestern, railforums) sit behind Cloudflare bot protection and could not be read; I did not try to bypass it.</t>
        </is>
      </c>
    </row>
    <row r="24">
      <c r="A24" s="5" t="inlineStr">
        <is>
          <t>5.</t>
        </is>
      </c>
      <c r="B24" s="4" t="inlineStr">
        <is>
          <t>Rail ownership is in flux (government is moving operators into public ownership / Great British Railways), so company names and recruitment arrangements are changing – e.g. the Elizabeth line is now run by GTS Rail Operations.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14" customWidth="1" min="4" max="4"/>
    <col width="16" customWidth="1" min="5" max="5"/>
    <col width="48" customWidth="1" min="6" max="6"/>
    <col width="16" customWidth="1" min="7" max="7"/>
    <col width="14" customWidth="1" min="8" max="8"/>
    <col width="28" customWidth="1" min="9" max="9"/>
    <col width="22" customWidth="1" min="10" max="10"/>
    <col width="32" customWidth="1" min="11" max="11"/>
    <col width="34" customWidth="1" min="12" max="12"/>
    <col width="12" customWidth="1" min="13" max="13"/>
    <col width="32" customWidth="1" min="14" max="14"/>
  </cols>
  <sheetData>
    <row r="1" ht="36" customHeight="1">
      <c r="A1" s="6" t="inlineStr">
        <is>
          <t>Operator</t>
        </is>
      </c>
      <c r="B1" s="6" t="inlineStr">
        <is>
          <t>Role / programme</t>
        </is>
      </c>
      <c r="C1" s="6" t="inlineStr">
        <is>
          <t>Base in / near London</t>
        </is>
      </c>
      <c r="D1" s="6" t="inlineStr">
        <is>
          <t>Starting salary (£)</t>
        </is>
      </c>
      <c r="E1" s="6" t="inlineStr">
        <is>
          <t>Qualified driver salary (£)</t>
        </is>
      </c>
      <c r="F1" s="6" t="inlineStr">
        <is>
          <t>Salary steps / notes</t>
        </is>
      </c>
      <c r="G1" s="6" t="inlineStr">
        <is>
          <t>Time to qualify</t>
        </is>
      </c>
      <c r="H1" s="6" t="inlineStr">
        <is>
          <t>Minimum age</t>
        </is>
      </c>
      <c r="I1" s="6" t="inlineStr">
        <is>
          <t>Education required</t>
        </is>
      </c>
      <c r="J1" s="6" t="inlineStr">
        <is>
          <t>Where you must live</t>
        </is>
      </c>
      <c r="K1" s="6" t="inlineStr">
        <is>
          <t>Latest known deadline / status</t>
        </is>
      </c>
      <c r="L1" s="6" t="inlineStr">
        <is>
          <t>Careers page</t>
        </is>
      </c>
      <c r="M1" s="6" t="inlineStr">
        <is>
          <t>Confidence</t>
        </is>
      </c>
      <c r="N1" s="6" t="inlineStr">
        <is>
          <t>Confidence note</t>
        </is>
      </c>
    </row>
    <row r="2" ht="110" customHeight="1">
      <c r="A2" s="7" t="inlineStr">
        <is>
          <t>Southeastern</t>
        </is>
      </c>
      <c r="B2" s="7" t="inlineStr">
        <is>
          <t>Trainee Train Driver (Level 3 Driver Apprenticeship)</t>
        </is>
      </c>
      <c r="C2" s="7" t="inlineStr">
        <is>
          <t>Ashford &amp; Tonbridge depots (Kent) – commutable to London</t>
        </is>
      </c>
      <c r="D2" s="8" t="n">
        <v>27639</v>
      </c>
      <c r="E2" s="8" t="n">
        <v>62727</v>
      </c>
      <c r="F2" s="7" t="inlineStr">
        <is>
          <t>£27,639 start → £33,867 after Rules &amp; Regs (~3 mths) → £54,002 on completing apprenticeship (~12 mths) → £62,727 after 12 mths qualified. 28 days leave, final-salary pension, free travel. (2024 round: £33,510 → £68,958 – older pay scale.)</t>
        </is>
      </c>
      <c r="G2" s="7" t="inlineStr">
        <is>
          <t>12–18 months</t>
        </is>
      </c>
      <c r="H2" s="7" t="inlineStr">
        <is>
          <t>20</t>
        </is>
      </c>
      <c r="I2" s="7" t="inlineStr">
        <is>
          <t>No railway experience; no minimum stated on advert</t>
        </is>
      </c>
      <c r="J2" s="7" t="inlineStr">
        <is>
          <t>Within 40 min drive of Ashford or Tonbridge</t>
        </is>
      </c>
      <c r="K2" s="7" t="inlineStr">
        <is>
          <t>Closed 1 Jan 2026. Next window not announced – register for alerts</t>
        </is>
      </c>
      <c r="L2" s="9" t="inlineStr">
        <is>
          <t>https://jobs.southeasternrailway.co.uk/</t>
        </is>
      </c>
      <c r="M2" s="10" t="inlineStr">
        <is>
          <t>High</t>
        </is>
      </c>
      <c r="N2" s="7" t="inlineStr">
        <is>
          <t>Official advert read in full</t>
        </is>
      </c>
    </row>
    <row r="3" ht="110" customHeight="1">
      <c r="A3" s="7" t="inlineStr">
        <is>
          <t>Elizabeth line (GTS Rail Operations)</t>
        </is>
      </c>
      <c r="B3" s="7" t="inlineStr">
        <is>
          <t>Trainee Driver (ref 1156)</t>
        </is>
      </c>
      <c r="C3" s="7" t="inlineStr">
        <is>
          <t>Old Oak Common &amp; Abbey Wood depots</t>
        </is>
      </c>
      <c r="D3" s="8" t="n">
        <v>40374</v>
      </c>
      <c r="E3" s="8" t="n">
        <v>81120</v>
      </c>
      <c r="F3" s="7" t="inlineStr">
        <is>
          <t>Advert: £40,374 rising to £81,120 as full driver. Earlier round: £37,689 start. One source quotes ~£72,465 for a 34-hr 4-day week – so the £81k may include rostered extras.</t>
        </is>
      </c>
      <c r="G3" s="7" t="inlineStr">
        <is>
          <t>~12–18 months (typical)</t>
        </is>
      </c>
      <c r="H3" s="7" t="inlineStr">
        <is>
          <t>Check advert (typ. 18–21)</t>
        </is>
      </c>
      <c r="I3" s="7" t="inlineStr">
        <is>
          <t>Not confirmed</t>
        </is>
      </c>
      <c r="J3" s="7" t="inlineStr">
        <is>
          <t>Within 1 hour of Old Oak Common</t>
        </is>
      </c>
      <c r="K3" s="7" t="inlineStr">
        <is>
          <t>Closed 19 Jun 2026 (15 posts). Checked 4 Oct 2026: 0 driver vacancies, but a 'Trainee train driver' talent pool is open to register on careers.gtsr.co.uk</t>
        </is>
      </c>
      <c r="L3" s="9" t="inlineStr">
        <is>
          <t>https://careers.gtsr.co.uk/</t>
        </is>
      </c>
      <c r="M3" s="11" t="inlineStr">
        <is>
          <t>Medium</t>
        </is>
      </c>
      <c r="N3" s="7" t="inlineStr">
        <is>
          <t>Salary from job-listing aggregation; official careers site read 4 Oct 2026 (status only, no salary shown)</t>
        </is>
      </c>
    </row>
    <row r="4" ht="110" customHeight="1">
      <c r="A4" s="7" t="inlineStr">
        <is>
          <t>London Underground (TfL)</t>
        </is>
      </c>
      <c r="B4" s="7" t="inlineStr">
        <is>
          <t>Trainee Train Operator</t>
        </is>
      </c>
      <c r="C4" s="7" t="inlineStr">
        <is>
          <t>Depots across the Tube network</t>
        </is>
      </c>
      <c r="D4" s="8" t="n">
        <v>31382</v>
      </c>
      <c r="E4" s="8" t="n">
        <v>63294</v>
      </c>
      <c r="F4" s="7" t="inlineStr">
        <is>
          <t>Reported: £31,382 (+£2,056 London weighting) for ~3 mths → £42,326 → on passing final competency £59,084 (yr 1) → £63,294 (+London weighting). Other sources quote £70k+ with allowances.</t>
        </is>
      </c>
      <c r="G4" s="7" t="inlineStr">
        <is>
          <t>Initial training ~12–16 weeks reported; full competency longer</t>
        </is>
      </c>
      <c r="H4" s="7" t="inlineStr">
        <is>
          <t>Check advert (typ. 18+)</t>
        </is>
      </c>
      <c r="I4" s="7" t="inlineStr">
        <is>
          <t>Not confirmed</t>
        </is>
      </c>
      <c r="J4" s="7" t="inlineStr">
        <is>
          <t>Greater London / commutable</t>
        </is>
      </c>
      <c r="K4" s="7" t="inlineStr">
        <is>
          <t>TfL does not run a fixed cycle – posts on careers site when needed</t>
        </is>
      </c>
      <c r="L4" s="9" t="inlineStr">
        <is>
          <t>https://tfl.gov.uk/corporate/careers/</t>
        </is>
      </c>
      <c r="M4" s="12" t="inlineStr">
        <is>
          <t>Low</t>
        </is>
      </c>
      <c r="N4" s="7" t="inlineStr">
        <is>
          <t>Forum figures; official TfL page blocked. Not confirmed as a formal Level 3 apprenticeship – ask TfL</t>
        </is>
      </c>
    </row>
    <row r="5" ht="110" customHeight="1">
      <c r="A5" s="7" t="inlineStr">
        <is>
          <t>c2c</t>
        </is>
      </c>
      <c r="B5" s="7" t="inlineStr">
        <is>
          <t>Trainee Train Driver (Driver Apprenticeship Programme)</t>
        </is>
      </c>
      <c r="C5" s="7" t="inlineStr">
        <is>
          <t>Essex / East London (Fenchurch St line)</t>
        </is>
      </c>
      <c r="D5" s="8" t="n">
        <v>34773</v>
      </c>
      <c r="E5" s="8" t="n">
        <v>70066</v>
      </c>
      <c r="F5" s="7" t="inlineStr">
        <is>
          <t>Training salary £34,773 rising to £70,066 on passing out as qualified.</t>
        </is>
      </c>
      <c r="G5" s="7" t="inlineStr">
        <is>
          <t>About 1 year</t>
        </is>
      </c>
      <c r="H5" s="7" t="inlineStr">
        <is>
          <t>Typ. 18+ (check)</t>
        </is>
      </c>
      <c r="I5" s="7" t="inlineStr">
        <is>
          <t>Not confirmed</t>
        </is>
      </c>
      <c r="J5" s="7" t="inlineStr">
        <is>
          <t>Near depot</t>
        </is>
      </c>
      <c r="K5" s="7" t="inlineStr">
        <is>
          <t>Check careers.c2c-online.co.uk</t>
        </is>
      </c>
      <c r="L5" s="9" t="inlineStr">
        <is>
          <t>https://careers.c2c-online.co.uk/</t>
        </is>
      </c>
      <c r="M5" s="12" t="inlineStr">
        <is>
          <t>Low</t>
        </is>
      </c>
      <c r="N5" s="7" t="inlineStr">
        <is>
          <t>Aggregator advert snippet; official page had no live detail</t>
        </is>
      </c>
    </row>
    <row r="6" ht="110" customHeight="1">
      <c r="A6" s="7" t="inlineStr">
        <is>
          <t>South Western Railway</t>
        </is>
      </c>
      <c r="B6" s="7" t="inlineStr">
        <is>
          <t>Trainee Driver (Level 3 apprenticeship)</t>
        </is>
      </c>
      <c r="C6" s="7" t="inlineStr">
        <is>
          <t>Waterloo (also Farnham, Fratton, Weymouth)</t>
        </is>
      </c>
      <c r="D6" s="8" t="n">
        <v>37865</v>
      </c>
      <c r="E6" s="7" t="n"/>
      <c r="F6" s="7" t="inlineStr">
        <is>
          <t>£37,865 + regional allowances. Qualified salary not found.</t>
        </is>
      </c>
      <c r="G6" s="7" t="inlineStr">
        <is>
          <t>18 months</t>
        </is>
      </c>
      <c r="H6" s="7" t="inlineStr">
        <is>
          <t>Check advert</t>
        </is>
      </c>
      <c r="I6" s="7" t="inlineStr">
        <is>
          <t>Not confirmed</t>
        </is>
      </c>
      <c r="J6" s="7" t="inlineStr">
        <is>
          <t>Commutable to depot</t>
        </is>
      </c>
      <c r="K6" s="7" t="inlineStr">
        <is>
          <t>Checked 4 Oct 2026: no trainee driver vacancies listed – register for alerts</t>
        </is>
      </c>
      <c r="L6" s="9" t="inlineStr">
        <is>
          <t>https://careers.southwesternrailway.com/</t>
        </is>
      </c>
      <c r="M6" s="11" t="inlineStr">
        <is>
          <t>Medium</t>
        </is>
      </c>
      <c r="N6" s="7" t="inlineStr">
        <is>
          <t>Salary from earlier SWR adverts; careers site read 4 Oct 2026 (no live driver roles)</t>
        </is>
      </c>
    </row>
    <row r="7" ht="110" customHeight="1">
      <c r="A7" s="7" t="inlineStr">
        <is>
          <t>GTR (Thameslink, Southern, Great Northern, Gatwick Express)</t>
        </is>
      </c>
      <c r="B7" s="7" t="inlineStr">
        <is>
          <t>Trainee/Apprentice Train Driver</t>
        </is>
      </c>
      <c r="C7" s="7" t="inlineStr">
        <is>
          <t>London Victoria, London Bridge, Hornsey, Welwyn, Brighton, Barnham etc.</t>
        </is>
      </c>
      <c r="D7" s="8" t="n">
        <v>32000</v>
      </c>
      <c r="E7" s="8" t="n">
        <v>63000</v>
      </c>
      <c r="F7" s="7" t="inlineStr">
        <is>
          <t>~£32k training salary, doubling to ~£63k when qualified. (Figures from 2020–25 campaigns – likely higher now.)</t>
        </is>
      </c>
      <c r="G7" s="7" t="inlineStr">
        <is>
          <t>18 months</t>
        </is>
      </c>
      <c r="H7" s="7" t="inlineStr">
        <is>
          <t>21 (older adverts) – check</t>
        </is>
      </c>
      <c r="I7" s="7" t="inlineStr">
        <is>
          <t>None needed; Level 2 English/Maths/ICT desirable</t>
        </is>
      </c>
      <c r="J7" s="7" t="inlineStr">
        <is>
          <t>Near depot</t>
        </is>
      </c>
      <c r="K7" s="7" t="inlineStr">
        <is>
          <t>Southern (Victoria) window opened Dec 2025 – check gtrailwaycareers.com for next</t>
        </is>
      </c>
      <c r="L7" s="9" t="inlineStr">
        <is>
          <t>https://www.gtrailwaycareers.com/</t>
        </is>
      </c>
      <c r="M7" s="12" t="inlineStr">
        <is>
          <t>Low</t>
        </is>
      </c>
      <c r="N7" s="7" t="inlineStr">
        <is>
          <t>Dated sources; careers site gave no live detail</t>
        </is>
      </c>
    </row>
    <row r="8" ht="110" customHeight="1">
      <c r="A8" s="7" t="inlineStr">
        <is>
          <t>Chiltern Railways</t>
        </is>
      </c>
      <c r="B8" s="7" t="inlineStr">
        <is>
          <t>Apprentice Train Driver</t>
        </is>
      </c>
      <c r="C8" s="7" t="inlineStr">
        <is>
          <t>London Marylebone (+ Birmingham/Stourbridge)</t>
        </is>
      </c>
      <c r="D8" s="8" t="n">
        <v>27499</v>
      </c>
      <c r="E8" s="8" t="n">
        <v>65400</v>
      </c>
      <c r="F8" s="7" t="inlineStr">
        <is>
          <t>£27,499 start (Feb 2025 round); qualified ~£65,400 excl. Sundays (+~£6,000 with rostered Sundays). Full salary from first solo drive.</t>
        </is>
      </c>
      <c r="G8" s="7" t="inlineStr">
        <is>
          <t>12–18 months</t>
        </is>
      </c>
      <c r="H8" s="7" t="inlineStr">
        <is>
          <t>Check advert</t>
        </is>
      </c>
      <c r="I8" s="7" t="inlineStr">
        <is>
          <t>Not confirmed</t>
        </is>
      </c>
      <c r="J8" s="7" t="inlineStr">
        <is>
          <t>Commutable to depot</t>
        </is>
      </c>
      <c r="K8" s="7" t="inlineStr">
        <is>
          <t>Talent pool opened Feb 2025 – check careers page</t>
        </is>
      </c>
      <c r="L8" s="9" t="inlineStr">
        <is>
          <t>https://www.chilternrailways.co.uk/careers</t>
        </is>
      </c>
      <c r="M8" s="11" t="inlineStr">
        <is>
          <t>Medium</t>
        </is>
      </c>
      <c r="N8" s="7" t="inlineStr">
        <is>
          <t>Advert details via rail forum; consistent with other sources</t>
        </is>
      </c>
    </row>
    <row r="9" ht="110" customHeight="1">
      <c r="A9" s="7" t="inlineStr">
        <is>
          <t>Great Western Railway (GWR)</t>
        </is>
      </c>
      <c r="B9" s="7" t="inlineStr">
        <is>
          <t>Trainee Train Driver</t>
        </is>
      </c>
      <c r="C9" s="7" t="inlineStr">
        <is>
          <t>London Paddington (also Heathrow Express)</t>
        </is>
      </c>
      <c r="D9" s="8" t="n">
        <v>33594</v>
      </c>
      <c r="E9" s="8" t="n">
        <v>71455</v>
      </c>
      <c r="F9" s="7" t="inlineStr">
        <is>
          <t>Mainline: £33,594 → £71,455. Heathrow Express: £26,000 → £55,500. Older GWR scale: £28,268 → 80% (£48,099) → 90% (£54,111) after 12 mths.</t>
        </is>
      </c>
      <c r="G9" s="7" t="inlineStr">
        <is>
          <t>~18 months</t>
        </is>
      </c>
      <c r="H9" s="7" t="inlineStr">
        <is>
          <t>21</t>
        </is>
      </c>
      <c r="I9" s="7" t="inlineStr">
        <is>
          <t>Not confirmed</t>
        </is>
      </c>
      <c r="J9" s="7" t="inlineStr">
        <is>
          <t>Within 60 min of Paddington</t>
        </is>
      </c>
      <c r="K9" s="7" t="inlineStr">
        <is>
          <t>Rolling – via First Group careers</t>
        </is>
      </c>
      <c r="L9" s="9" t="inlineStr">
        <is>
          <t>https://careers.firstgroup.co.uk/</t>
        </is>
      </c>
      <c r="M9" s="12" t="inlineStr">
        <is>
          <t>Low</t>
        </is>
      </c>
      <c r="N9" s="7" t="inlineStr">
        <is>
          <t>Conflicting figures from different years</t>
        </is>
      </c>
    </row>
    <row r="10" ht="110" customHeight="1">
      <c r="A10" s="7" t="inlineStr">
        <is>
          <t>East Midlands Railway</t>
        </is>
      </c>
      <c r="B10" s="7" t="inlineStr">
        <is>
          <t>Trainee Mainline Driver (Level 3 apprenticeship)</t>
        </is>
      </c>
      <c r="C10" s="7" t="inlineStr">
        <is>
          <t>London St Pancras</t>
        </is>
      </c>
      <c r="D10" s="7" t="n"/>
      <c r="E10" s="7" t="n"/>
      <c r="F10" s="7" t="inlineStr">
        <is>
          <t>Advert headline £50,337 (unclear whether trainee start or qualified – verify).</t>
        </is>
      </c>
      <c r="G10" s="7" t="inlineStr">
        <is>
          <t>12–18 months</t>
        </is>
      </c>
      <c r="H10" s="7" t="inlineStr">
        <is>
          <t>17y9m to start; 18 to drive</t>
        </is>
      </c>
      <c r="I10" s="7" t="inlineStr">
        <is>
          <t>GCSE English &amp; maths grade 9–4</t>
        </is>
      </c>
      <c r="J10" s="7" t="inlineStr">
        <is>
          <t>Within 45 min of St Pancras</t>
        </is>
      </c>
      <c r="K10" s="7" t="inlineStr">
        <is>
          <t>Advertised 2026 – check careers page</t>
        </is>
      </c>
      <c r="L10" s="9" t="inlineStr">
        <is>
          <t>https://www.eastmidlandsrailway.co.uk/careers</t>
        </is>
      </c>
      <c r="M10" s="11" t="inlineStr">
        <is>
          <t>Medium</t>
        </is>
      </c>
      <c r="N10" s="7" t="inlineStr">
        <is>
          <t>Search result summarising the live advert; official page blocked</t>
        </is>
      </c>
    </row>
    <row r="11" ht="110" customHeight="1">
      <c r="A11" s="7" t="inlineStr">
        <is>
          <t>LNER</t>
        </is>
      </c>
      <c r="B11" s="7" t="inlineStr">
        <is>
          <t>Train Driver Level 3 Apprenticeship</t>
        </is>
      </c>
      <c r="C11" s="7" t="inlineStr">
        <is>
          <t>Depots incl. London King's Cross; 15 wks training at York Academy</t>
        </is>
      </c>
      <c r="D11" s="7" t="n"/>
      <c r="E11" s="7" t="n"/>
      <c r="F11" s="7" t="inlineStr">
        <is>
          <t>Salary only shown on the live advert. 13-month programme + 3-month End-Point Assessment; ~300 hrs practical handling.</t>
        </is>
      </c>
      <c r="G11" s="7" t="inlineStr">
        <is>
          <t>~16 months</t>
        </is>
      </c>
      <c r="H11" s="7" t="inlineStr">
        <is>
          <t>18 (no upper limit)</t>
        </is>
      </c>
      <c r="I11" s="7" t="inlineStr">
        <is>
          <t>If 18: GCSE English &amp; maths 9–4 (or equiv). If 19+: no minimum, but evidence requested</t>
        </is>
      </c>
      <c r="J11" s="7" t="inlineStr">
        <is>
          <t>Within 60 min of depot</t>
        </is>
      </c>
      <c r="K11" s="7" t="inlineStr">
        <is>
          <t>None open at time of reading – register for job alerts</t>
        </is>
      </c>
      <c r="L11" s="9" t="inlineStr">
        <is>
          <t>https://www.lnerjobs.co.uk/jobs/apprenticeships/</t>
        </is>
      </c>
      <c r="M11" s="10" t="inlineStr">
        <is>
          <t>High</t>
        </is>
      </c>
      <c r="N11" s="7" t="inlineStr">
        <is>
          <t>Official page read in full</t>
        </is>
      </c>
    </row>
    <row r="12" ht="110" customHeight="1">
      <c r="A12" s="7" t="inlineStr">
        <is>
          <t>Avanti West Coast</t>
        </is>
      </c>
      <c r="B12" s="7" t="inlineStr">
        <is>
          <t>Trainee Train Driver – Euston talent pool</t>
        </is>
      </c>
      <c r="C12" s="7" t="inlineStr">
        <is>
          <t>London Euston</t>
        </is>
      </c>
      <c r="D12" s="7" t="n"/>
      <c r="E12" s="7" t="n"/>
      <c r="F12" s="7" t="inlineStr">
        <is>
          <t>Listed as a talent pool on railwaycareers.co.uk; no salary shown (sector range quoted £27k–£33k).</t>
        </is>
      </c>
      <c r="G12" s="7" t="inlineStr">
        <is>
          <t>Not found</t>
        </is>
      </c>
      <c r="H12" s="7" t="inlineStr">
        <is>
          <t>Not found</t>
        </is>
      </c>
      <c r="I12" s="7" t="inlineStr">
        <is>
          <t>Not found</t>
        </is>
      </c>
      <c r="J12" s="7" t="inlineStr">
        <is>
          <t>Not found</t>
        </is>
      </c>
      <c r="K12" s="7" t="inlineStr">
        <is>
          <t>Talent pool listed – register interest on Avanti careers site</t>
        </is>
      </c>
      <c r="L12" s="9" t="inlineStr">
        <is>
          <t>https://www.avantiwestcoast.co.uk/careers</t>
        </is>
      </c>
      <c r="M12" s="12" t="inlineStr">
        <is>
          <t>Low</t>
        </is>
      </c>
      <c r="N12" s="7" t="inlineStr">
        <is>
          <t>Aggregator listing only</t>
        </is>
      </c>
    </row>
    <row r="13" ht="110" customHeight="1">
      <c r="A13" s="7" t="inlineStr">
        <is>
          <t>First Rail London (ex-Arriva Rail London)</t>
        </is>
      </c>
      <c r="B13" s="7" t="inlineStr">
        <is>
          <t>Trainee Train Driver</t>
        </is>
      </c>
      <c r="C13" s="7" t="inlineStr">
        <is>
          <t>London (took over concession 2 May 2026)</t>
        </is>
      </c>
      <c r="D13" s="7" t="n"/>
      <c r="E13" s="7" t="n"/>
      <c r="F13" s="7" t="inlineStr">
        <is>
          <t>No salary found.</t>
        </is>
      </c>
      <c r="G13" s="7" t="inlineStr">
        <is>
          <t>Not found</t>
        </is>
      </c>
      <c r="H13" s="7" t="inlineStr">
        <is>
          <t>Not found</t>
        </is>
      </c>
      <c r="I13" s="7" t="inlineStr">
        <is>
          <t>Not found</t>
        </is>
      </c>
      <c r="J13" s="7" t="inlineStr">
        <is>
          <t>Not found</t>
        </is>
      </c>
      <c r="K13" s="7" t="inlineStr">
        <is>
          <t>A window closed on a 23rd in May 2026 – details unconfirmed</t>
        </is>
      </c>
      <c r="L13" s="9" t="inlineStr">
        <is>
          <t>https://careers.firstgroup.co.uk/</t>
        </is>
      </c>
      <c r="M13" s="12" t="inlineStr">
        <is>
          <t>Low</t>
        </is>
      </c>
      <c r="N13" s="7" t="inlineStr">
        <is>
          <t>Forum mention only</t>
        </is>
      </c>
    </row>
    <row r="14" ht="110" customHeight="1">
      <c r="A14" s="7" t="inlineStr">
        <is>
          <t>Greater Anglia</t>
        </is>
      </c>
      <c r="B14" s="7" t="inlineStr">
        <is>
          <t>Trainee Mainline Driver</t>
        </is>
      </c>
      <c r="C14" s="7" t="inlineStr">
        <is>
          <t>London Liverpool Street</t>
        </is>
      </c>
      <c r="D14" s="8" t="n">
        <v>25120</v>
      </c>
      <c r="E14" s="7" t="n"/>
      <c r="F14" s="7" t="inlineStr">
        <is>
          <t>£25,120 is from an EXPIRED older posting – likely out of date.</t>
        </is>
      </c>
      <c r="G14" s="7" t="inlineStr">
        <is>
          <t>~18 months</t>
        </is>
      </c>
      <c r="H14" s="7" t="inlineStr">
        <is>
          <t>21 (for qualified post)</t>
        </is>
      </c>
      <c r="I14" s="7" t="inlineStr">
        <is>
          <t>Not confirmed</t>
        </is>
      </c>
      <c r="J14" s="7" t="inlineStr">
        <is>
          <t>Near depot</t>
        </is>
      </c>
      <c r="K14" s="7" t="inlineStr">
        <is>
          <t>Currently advertising conductors (closed 7 Aug 2026) – drivers not confirmed</t>
        </is>
      </c>
      <c r="L14" s="9" t="inlineStr">
        <is>
          <t>https://apply.greateranglia.co.uk/</t>
        </is>
      </c>
      <c r="M14" s="12" t="inlineStr">
        <is>
          <t>Low</t>
        </is>
      </c>
      <c r="N14" s="7" t="inlineStr">
        <is>
          <t>Old posting</t>
        </is>
      </c>
    </row>
    <row r="15" ht="110" customHeight="1">
      <c r="A15" s="7" t="inlineStr">
        <is>
          <t>DB Cargo (freight)</t>
        </is>
      </c>
      <c r="B15" s="7" t="inlineStr">
        <is>
          <t>Junior Train Driver</t>
        </is>
      </c>
      <c r="C15" s="7" t="inlineStr">
        <is>
          <t>Not London-specific (national depots)</t>
        </is>
      </c>
      <c r="D15" s="8" t="n">
        <v>31381</v>
      </c>
      <c r="E15" s="8" t="n">
        <v>55525</v>
      </c>
      <c r="F15" s="7" t="inlineStr">
        <is>
          <t>£31,381 start → £55,525 qualified.</t>
        </is>
      </c>
      <c r="G15" s="7" t="inlineStr">
        <is>
          <t>~12–18 months</t>
        </is>
      </c>
      <c r="H15" s="7" t="inlineStr">
        <is>
          <t>Check advert</t>
        </is>
      </c>
      <c r="I15" s="7" t="inlineStr">
        <is>
          <t>Not confirmed</t>
        </is>
      </c>
      <c r="J15" s="7" t="inlineStr">
        <is>
          <t>Depot dependent</t>
        </is>
      </c>
      <c r="K15" s="7" t="inlineStr">
        <is>
          <t>Talent-pool style</t>
        </is>
      </c>
      <c r="L15" s="9" t="inlineStr">
        <is>
          <t>https://db.jobs/</t>
        </is>
      </c>
      <c r="M15" s="12" t="inlineStr">
        <is>
          <t>Low</t>
        </is>
      </c>
      <c r="N15" s="7" t="inlineStr">
        <is>
          <t>Search snippet</t>
        </is>
      </c>
    </row>
    <row r="16" ht="110" customHeight="1">
      <c r="A16" s="7" t="inlineStr">
        <is>
          <t>GB Railfreight / Freightliner (freight)</t>
        </is>
      </c>
      <c r="B16" s="7" t="inlineStr">
        <is>
          <t>Trainee Train Driver</t>
        </is>
      </c>
      <c r="C16" s="7" t="inlineStr">
        <is>
          <t>Not London-specific</t>
        </is>
      </c>
      <c r="D16" s="8" t="n">
        <v>28937</v>
      </c>
      <c r="E16" s="7" t="n"/>
      <c r="F16" s="7" t="inlineStr">
        <is>
          <t>GBRf £28,937 training; qualified approx. £50–55k (GBRf), £50–56k (Freightliner) per industry summaries.</t>
        </is>
      </c>
      <c r="G16" s="7" t="inlineStr">
        <is>
          <t>~12–18 months</t>
        </is>
      </c>
      <c r="H16" s="7" t="inlineStr">
        <is>
          <t>Check advert</t>
        </is>
      </c>
      <c r="I16" s="7" t="inlineStr">
        <is>
          <t>Not confirmed</t>
        </is>
      </c>
      <c r="J16" s="7" t="inlineStr">
        <is>
          <t>Depot dependent</t>
        </is>
      </c>
      <c r="K16" s="7" t="inlineStr">
        <is>
          <t>Talent pool</t>
        </is>
      </c>
      <c r="L16" s="9" t="inlineStr">
        <is>
          <t>https://careers.gbrailfreight.com/</t>
        </is>
      </c>
      <c r="M16" s="12" t="inlineStr">
        <is>
          <t>Low</t>
        </is>
      </c>
      <c r="N16" s="7" t="inlineStr">
        <is>
          <t>Industry summary figures</t>
        </is>
      </c>
    </row>
    <row r="18">
      <c r="A18" s="13" t="inlineStr">
        <is>
          <t>Confidence: High = official page read in full · Medium = official/advert detail via search · Low = forum, aggregator or dated source. Verify before applying.</t>
        </is>
      </c>
    </row>
  </sheetData>
  <autoFilter ref="A1:N16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4" customWidth="1" min="4" max="4"/>
    <col width="12" customWidth="1" min="5" max="5"/>
  </cols>
  <sheetData>
    <row r="1" ht="36" customHeight="1">
      <c r="A1" s="6" t="inlineStr">
        <is>
          <t>Operator</t>
        </is>
      </c>
      <c r="B1" s="6" t="inlineStr">
        <is>
          <t>Start salary (£)</t>
        </is>
      </c>
      <c r="C1" s="6" t="inlineStr">
        <is>
          <t>Qualified salary (£)</t>
        </is>
      </c>
      <c r="D1" s="6" t="inlineStr">
        <is>
          <t>Uplift (£)</t>
        </is>
      </c>
      <c r="E1" s="6" t="inlineStr">
        <is>
          <t>Uplift (%)</t>
        </is>
      </c>
    </row>
    <row r="2">
      <c r="A2" s="7" t="inlineStr">
        <is>
          <t>Southeastern</t>
        </is>
      </c>
      <c r="B2" s="14" t="n">
        <v>27639</v>
      </c>
      <c r="C2" s="14" t="n">
        <v>62727</v>
      </c>
      <c r="D2" s="14">
        <f>C2-B2</f>
        <v/>
      </c>
      <c r="E2" s="15">
        <f>C2/B2-1</f>
        <v/>
      </c>
    </row>
    <row r="3">
      <c r="A3" s="7" t="inlineStr">
        <is>
          <t>Elizabeth line (GTS Rail Operations)</t>
        </is>
      </c>
      <c r="B3" s="14" t="n">
        <v>40374</v>
      </c>
      <c r="C3" s="14" t="n">
        <v>81120</v>
      </c>
      <c r="D3" s="14">
        <f>C3-B3</f>
        <v/>
      </c>
      <c r="E3" s="15">
        <f>C3/B3-1</f>
        <v/>
      </c>
    </row>
    <row r="4">
      <c r="A4" s="7" t="inlineStr">
        <is>
          <t>London Underground (TfL)</t>
        </is>
      </c>
      <c r="B4" s="14" t="n">
        <v>31382</v>
      </c>
      <c r="C4" s="14" t="n">
        <v>63294</v>
      </c>
      <c r="D4" s="14">
        <f>C4-B4</f>
        <v/>
      </c>
      <c r="E4" s="15">
        <f>C4/B4-1</f>
        <v/>
      </c>
    </row>
    <row r="5">
      <c r="A5" s="7" t="inlineStr">
        <is>
          <t>c2c</t>
        </is>
      </c>
      <c r="B5" s="14" t="n">
        <v>34773</v>
      </c>
      <c r="C5" s="14" t="n">
        <v>70066</v>
      </c>
      <c r="D5" s="14">
        <f>C5-B5</f>
        <v/>
      </c>
      <c r="E5" s="15">
        <f>C5/B5-1</f>
        <v/>
      </c>
    </row>
    <row r="6">
      <c r="A6" s="7" t="inlineStr">
        <is>
          <t>GTR (Thameslink, Southern, Great Northern, Gatwick Express)</t>
        </is>
      </c>
      <c r="B6" s="14" t="n">
        <v>32000</v>
      </c>
      <c r="C6" s="14" t="n">
        <v>63000</v>
      </c>
      <c r="D6" s="14">
        <f>C6-B6</f>
        <v/>
      </c>
      <c r="E6" s="15">
        <f>C6/B6-1</f>
        <v/>
      </c>
    </row>
    <row r="7">
      <c r="A7" s="7" t="inlineStr">
        <is>
          <t>Chiltern Railways</t>
        </is>
      </c>
      <c r="B7" s="14" t="n">
        <v>27499</v>
      </c>
      <c r="C7" s="14" t="n">
        <v>65400</v>
      </c>
      <c r="D7" s="14">
        <f>C7-B7</f>
        <v/>
      </c>
      <c r="E7" s="15">
        <f>C7/B7-1</f>
        <v/>
      </c>
    </row>
    <row r="8">
      <c r="A8" s="7" t="inlineStr">
        <is>
          <t>Great Western Railway (GWR)</t>
        </is>
      </c>
      <c r="B8" s="14" t="n">
        <v>33594</v>
      </c>
      <c r="C8" s="14" t="n">
        <v>71455</v>
      </c>
      <c r="D8" s="14">
        <f>C8-B8</f>
        <v/>
      </c>
      <c r="E8" s="15">
        <f>C8/B8-1</f>
        <v/>
      </c>
    </row>
    <row r="9">
      <c r="A9" s="7" t="inlineStr">
        <is>
          <t>DB Cargo (freight)</t>
        </is>
      </c>
      <c r="B9" s="14" t="n">
        <v>31381</v>
      </c>
      <c r="C9" s="14" t="n">
        <v>55525</v>
      </c>
      <c r="D9" s="14">
        <f>C9-B9</f>
        <v/>
      </c>
      <c r="E9" s="15">
        <f>C9/B9-1</f>
        <v/>
      </c>
    </row>
    <row r="11">
      <c r="A11" s="16" t="inlineStr">
        <is>
          <t>Average</t>
        </is>
      </c>
      <c r="B11" s="17">
        <f>AVERAGE(B2:B9)</f>
        <v/>
      </c>
      <c r="C11" s="17">
        <f>AVERAGE(C2:C9)</f>
        <v/>
      </c>
      <c r="D11" s="17">
        <f>AVERAGE(D2:D9)</f>
        <v/>
      </c>
    </row>
    <row r="13">
      <c r="A13" s="13" t="inlineStr">
        <is>
          <t>Only operators with both figures shown. Quoted figures are indicative and not like-for-like (some include allowances, some exclude Sundays/overtime).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60" customWidth="1" min="3" max="3"/>
  </cols>
  <sheetData>
    <row r="1" ht="36" customHeight="1">
      <c r="A1" s="6" t="inlineStr">
        <is>
          <t>Step</t>
        </is>
      </c>
      <c r="B1" s="6" t="inlineStr">
        <is>
          <t>What happens</t>
        </is>
      </c>
      <c r="C1" s="6" t="inlineStr">
        <is>
          <t>Tips</t>
        </is>
      </c>
    </row>
    <row r="2" ht="65" customHeight="1">
      <c r="A2" s="7" t="inlineStr">
        <is>
          <t>1. Register for alerts</t>
        </is>
      </c>
      <c r="B2" s="7" t="inlineStr">
        <is>
          <t>Sign up to each operator's job alerts and Routes into Rail / railforums recruitment threads. Windows are short and can close early if oversubscribed.</t>
        </is>
      </c>
      <c r="C2" s="7" t="inlineStr">
        <is>
          <t>Do this first – you cannot apply when nothing is open.</t>
        </is>
      </c>
    </row>
    <row r="3" ht="65" customHeight="1">
      <c r="A3" s="7" t="inlineStr">
        <is>
          <t>2. Online application</t>
        </is>
      </c>
      <c r="B3" s="7" t="inlineStr">
        <is>
          <t>Short form / CV; right-to-work; sometimes a 'situational' or motivation question.</t>
        </is>
      </c>
      <c r="C3" s="7" t="inlineStr">
        <is>
          <t>Apply early in the window. Demonstrate reliability, concentration, safety mindset, shift flexibility.</t>
        </is>
      </c>
    </row>
    <row r="4" ht="65" customHeight="1">
      <c r="A4" s="7" t="inlineStr">
        <is>
          <t>3. Online psychometric testing</t>
        </is>
      </c>
      <c r="B4" s="7" t="inlineStr">
        <is>
          <t>Rail-specific aptitude tests (e.g. concentration, hand-eye coordination, multitasking, reaction, numerical/verbal reasoning, situational judgement).</t>
        </is>
      </c>
      <c r="C4" s="7" t="inlineStr">
        <is>
          <t>Practise beforehand; sit in a quiet place. Needs to be an 'enhanced' pass; results valid for 5 years.</t>
        </is>
      </c>
    </row>
    <row r="5" ht="65" customHeight="1">
      <c r="A5" s="7" t="inlineStr">
        <is>
          <t>4. Driver testing stage 1 / Assessment day</t>
        </is>
      </c>
      <c r="B5" s="7" t="inlineStr">
        <is>
          <t>In-person tests and group or individual exercises (EMR example: Part 2 'Driver testing Stage 1', Part 3 'Assessment Day').</t>
        </is>
      </c>
      <c r="C5" s="7" t="inlineStr">
        <is>
          <t>Calm, methodical, safety-first. Follow instructions exactly.</t>
        </is>
      </c>
    </row>
    <row r="6" ht="65" customHeight="1">
      <c r="A6" s="7" t="inlineStr">
        <is>
          <t>5. Strength-based interview</t>
        </is>
      </c>
      <c r="B6" s="7" t="inlineStr">
        <is>
          <t>Conversational interview on strengths, motivation, handling pressure and rules.</t>
        </is>
      </c>
      <c r="C6" s="7" t="inlineStr">
        <is>
          <t>Be honest and specific about why driving, shift work and responsibility suit you.</t>
        </is>
      </c>
    </row>
    <row r="7" ht="65" customHeight="1">
      <c r="A7" s="7" t="inlineStr">
        <is>
          <t>6. Driver testing stage 2</t>
        </is>
      </c>
      <c r="B7" s="7" t="inlineStr">
        <is>
          <t>Second round of practical/cognitive assessment (EMR: Part 5).</t>
        </is>
      </c>
      <c r="C7" s="7" t="inlineStr">
        <is>
          <t>Not all operators use two stages.</t>
        </is>
      </c>
    </row>
    <row r="8" ht="65" customHeight="1">
      <c r="A8" s="7" t="inlineStr">
        <is>
          <t>7. Medical &amp; checks</t>
        </is>
      </c>
      <c r="B8" s="7" t="inlineStr">
        <is>
          <t>TDLCR Train Driver medical: eyesight incl. colour vision, hearing, general health, drug &amp; alcohol screen. Plus references, background (and sometimes DBS) checks.</t>
        </is>
      </c>
      <c r="C8" s="7" t="inlineStr">
        <is>
          <t>Check colour-vision and hearing standards early – a failed medical is the most common non-obvious block.</t>
        </is>
      </c>
    </row>
    <row r="9" ht="65" customHeight="1">
      <c r="A9" s="7" t="inlineStr">
        <is>
          <t>8. Offer &amp; start</t>
        </is>
      </c>
      <c r="B9" s="7" t="inlineStr">
        <is>
          <t>Employment offer as 'Trainee Train Driver', enrolled on Level 3 Train Driver apprenticeship.</t>
        </is>
      </c>
      <c r="C9" s="7" t="inlineStr"/>
    </row>
    <row r="10" ht="65" customHeight="1">
      <c r="A10" s="7" t="inlineStr">
        <is>
          <t>9. Training (12–18 months)</t>
        </is>
      </c>
      <c r="B10" s="7" t="inlineStr">
        <is>
          <t>Classroom: rules &amp; regulations, signalling, traction, braking, safety. Route learning and practical driving hours with an instructor. Exams at each module.</t>
        </is>
      </c>
      <c r="C10" s="7" t="inlineStr">
        <is>
          <t>Pay steps up after Rules &amp; Regulations and again on qualification at many operators.</t>
        </is>
      </c>
    </row>
    <row r="11" ht="65" customHeight="1">
      <c r="A11" s="7" t="inlineStr">
        <is>
          <t>10. End-Point Assessment</t>
        </is>
      </c>
      <c r="B11" s="7" t="inlineStr">
        <is>
          <t>Independent assessment in final ~6 months of the apprenticeship; then you sign off as a competent driver.</t>
        </is>
      </c>
      <c r="C11" s="7" t="inlineStr">
        <is>
          <t>Pay jumps to full driver rate at/after sign-off.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6" customHeight="1">
      <c r="A1" s="6" t="inlineStr">
        <is>
          <t>Topic</t>
        </is>
      </c>
      <c r="B1" s="6" t="inlineStr">
        <is>
          <t>Detail</t>
        </is>
      </c>
    </row>
    <row r="2" ht="55" customHeight="1">
      <c r="A2" s="18" t="inlineStr">
        <is>
          <t>Qualifications</t>
        </is>
      </c>
      <c r="B2" s="7" t="inlineStr">
        <is>
          <t>Typically none required beyond GCSE (or equivalent) English &amp; maths at grade 4/C for younger applicants (EMR, LNER if 18). LNER: 19+ no minimum. Southeastern/GTR: no formal qualifications needed.</t>
        </is>
      </c>
    </row>
    <row r="3" ht="55" customHeight="1">
      <c r="A3" s="18" t="inlineStr">
        <is>
          <t>Age</t>
        </is>
      </c>
      <c r="B3" s="7" t="inlineStr">
        <is>
          <t>Employers range from 17y9m (EMR – must be 18 to drive) to 20/21. One source reports the legal minimum driving-licence age dropping from 20 to 18 from 30 Jun 2026 – not verified, so check each advert.</t>
        </is>
      </c>
    </row>
    <row r="4" ht="55" customHeight="1">
      <c r="A4" s="18" t="inlineStr">
        <is>
          <t>Residency</t>
        </is>
      </c>
      <c r="B4" s="7" t="inlineStr">
        <is>
          <t>Almost all ask you to live within 40–60 minutes of the depot because of early/late/weekend shifts.</t>
        </is>
      </c>
    </row>
    <row r="5" ht="55" customHeight="1">
      <c r="A5" s="18" t="inlineStr">
        <is>
          <t>Medical</t>
        </is>
      </c>
      <c r="B5" s="7" t="inlineStr">
        <is>
          <t>Train Driver medical (TDLCR): eyesight (incl. colour vision, Ishihara-type tests), hearing, general health, drug &amp; alcohol screen. Done before you start.</t>
        </is>
      </c>
    </row>
    <row r="6" ht="55" customHeight="1">
      <c r="A6" s="18" t="inlineStr">
        <is>
          <t>Psychometrics</t>
        </is>
      </c>
      <c r="B6" s="7" t="inlineStr">
        <is>
          <t>Enhanced-level pass on the rail Train Driver psychometric assessments; valid 5 years so can be reused.</t>
        </is>
      </c>
    </row>
    <row r="7" ht="55" customHeight="1">
      <c r="A7" s="18" t="inlineStr">
        <is>
          <t>Shifts</t>
        </is>
      </c>
      <c r="B7" s="7" t="inlineStr">
        <is>
          <t>Typically 35-hr week, early/late rotating, weekends, nights; e.g. Southeastern: max shift 9h15, min 5h30.</t>
        </is>
      </c>
    </row>
    <row r="8" ht="55" customHeight="1">
      <c r="A8" s="18" t="inlineStr">
        <is>
          <t>Benefits</t>
        </is>
      </c>
      <c r="B8" s="7" t="inlineStr">
        <is>
          <t>Free/discounted rail travel, final-salary or generous pension, 28+ days leave, union (ASLEF) negotiated pay deals.</t>
        </is>
      </c>
    </row>
    <row r="9" ht="55" customHeight="1">
      <c r="A9" s="18" t="inlineStr">
        <is>
          <t>Alternative routes in</t>
        </is>
      </c>
      <c r="B9" s="7" t="inlineStr">
        <is>
          <t>Starting as station staff/conductor/customer service then moving across (TfL &amp; GTR commonly do this); TfL apprenticeship scheme (note: its 2026 intake closed 26 Feb 2026 and is mostly engineering/other roles, not driving).</t>
        </is>
      </c>
    </row>
    <row r="10" ht="55" customHeight="1">
      <c r="A10" s="18" t="inlineStr">
        <is>
          <t>Apprenticeship standard</t>
        </is>
      </c>
      <c r="B10" s="7" t="inlineStr">
        <is>
          <t>Train Driver Level 3 (ST0645). Typically 12–18 months; End-Point Assessment in the last ~6 months.</t>
        </is>
      </c>
    </row>
    <row r="11" ht="55" customHeight="1">
      <c r="A11" s="18" t="inlineStr">
        <is>
          <t>Strikes/industrial relations</t>
        </is>
      </c>
      <c r="B11" s="7" t="inlineStr">
        <is>
          <t>Some Elizabeth line and DLR pay disputes have occurred; pay deals have been settled with ASLEF (5%, 4.75%, 4.5% across 2022-25).</t>
        </is>
      </c>
    </row>
    <row r="12" ht="55" customHeight="1">
      <c r="A12" s="18" t="inlineStr">
        <is>
          <t>Cost / time</t>
        </is>
      </c>
      <c r="B12" s="7" t="inlineStr">
        <is>
          <t>Training is employer-funded; you're paid throughout.</t>
        </is>
      </c>
    </row>
    <row r="13" ht="55" customHeight="1">
      <c r="A13" s="18" t="inlineStr">
        <is>
          <t>Next steps for her</t>
        </is>
      </c>
      <c r="B13" s="7" t="inlineStr">
        <is>
          <t>1) Check eligibility (age, colour vision, hearing). 2) Register for alerts at: Southeastern, GTR, SWR, c2c, Elizabeth line (GTS), TfL, Chiltern, GWR, LNER, EMR. 3) Practise rail psychometric tests. 4) Be ready to apply within days of a window opening.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90" customWidth="1" min="2" max="2"/>
    <col width="55" customWidth="1" min="3" max="3"/>
  </cols>
  <sheetData>
    <row r="1" ht="36" customHeight="1">
      <c r="A1" s="6" t="inlineStr">
        <is>
          <t>Source</t>
        </is>
      </c>
      <c r="B1" s="6" t="inlineStr">
        <is>
          <t>URL</t>
        </is>
      </c>
      <c r="C1" s="6" t="inlineStr">
        <is>
          <t>Used for</t>
        </is>
      </c>
    </row>
    <row r="2">
      <c r="A2" s="7" t="inlineStr">
        <is>
          <t>Southeastern – Trainee Train Driver</t>
        </is>
      </c>
      <c r="B2" s="9" t="inlineStr">
        <is>
          <t>https://jobs.southeasternrailway.co.uk/jobs/job/Trainee-Train-Driver/2293</t>
        </is>
      </c>
      <c r="C2" s="7" t="inlineStr">
        <is>
          <t>Salary steps, age, process, location (read in full)</t>
        </is>
      </c>
    </row>
    <row r="3">
      <c r="A3" s="7" t="inlineStr">
        <is>
          <t>LNER – apprenticeships</t>
        </is>
      </c>
      <c r="B3" s="9" t="inlineStr">
        <is>
          <t>https://www.lnerjobs.co.uk/jobs/apprenticeships/</t>
        </is>
      </c>
      <c r="C3" s="7" t="inlineStr">
        <is>
          <t>Requirements, training structure (read in full)</t>
        </is>
      </c>
    </row>
    <row r="4">
      <c r="A4" s="7" t="inlineStr">
        <is>
          <t>Institute for Apprenticeships – ST0645</t>
        </is>
      </c>
      <c r="B4" s="9" t="inlineStr">
        <is>
          <t>https://instituteforapprenticeships.org/media/1901/st0645_train-driver_l3_updated-07-06-18-clean.pdf</t>
        </is>
      </c>
      <c r="C4" s="7" t="inlineStr">
        <is>
          <t>Standard, EPA, medical &amp; psychometric rules</t>
        </is>
      </c>
    </row>
    <row r="5">
      <c r="A5" s="7" t="inlineStr">
        <is>
          <t>East Midlands Railway adverts</t>
        </is>
      </c>
      <c r="B5" s="9" t="inlineStr">
        <is>
          <t>https://www.eastmidlandsrailway.co.uk/careers</t>
        </is>
      </c>
      <c r="C5" s="7" t="inlineStr">
        <is>
          <t>Age, GCSEs, 5-stage process</t>
        </is>
      </c>
    </row>
    <row r="6">
      <c r="A6" s="7" t="inlineStr">
        <is>
          <t>GTR press / IanVisits</t>
        </is>
      </c>
      <c r="B6" s="9" t="inlineStr">
        <is>
          <t>https://www.ianvisits.co.uk/articles/fancy-training-as-a-train-driver-40311/</t>
        </is>
      </c>
      <c r="C6" s="7" t="inlineStr">
        <is>
          <t>GTR salary, age, depots (2020 campaign)</t>
        </is>
      </c>
    </row>
    <row r="7">
      <c r="A7" s="7" t="inlineStr">
        <is>
          <t>Elizabeth line (GTS Rail Operations) vacancies</t>
        </is>
      </c>
      <c r="B7" s="9" t="inlineStr">
        <is>
          <t>https://careers.gtsr.co.uk/</t>
        </is>
      </c>
      <c r="C7" s="7" t="inlineStr">
        <is>
          <t>Trainee salary, deadline, depots</t>
        </is>
      </c>
    </row>
    <row r="8">
      <c r="A8" s="7" t="inlineStr">
        <is>
          <t>TfL careers</t>
        </is>
      </c>
      <c r="B8" s="9" t="inlineStr">
        <is>
          <t>https://tfl.gov.uk/corporate/careers/</t>
        </is>
      </c>
      <c r="C8" s="7" t="inlineStr">
        <is>
          <t>Tube / TfL apprenticeships (page blocked to automated reading)</t>
        </is>
      </c>
    </row>
    <row r="9">
      <c r="A9" s="7" t="inlineStr">
        <is>
          <t>c2c careers</t>
        </is>
      </c>
      <c r="B9" s="9" t="inlineStr">
        <is>
          <t>https://careers.c2c-online.co.uk/</t>
        </is>
      </c>
      <c r="C9" s="7" t="inlineStr">
        <is>
          <t>Salary (via aggregator)</t>
        </is>
      </c>
    </row>
    <row r="10">
      <c r="A10" s="7" t="inlineStr">
        <is>
          <t>SWR careers</t>
        </is>
      </c>
      <c r="B10" s="9" t="inlineStr">
        <is>
          <t>https://careers.southwesternrailway.com/</t>
        </is>
      </c>
      <c r="C10" s="7" t="inlineStr">
        <is>
          <t>Salary, depots</t>
        </is>
      </c>
    </row>
    <row r="11">
      <c r="A11" s="7" t="inlineStr">
        <is>
          <t>Chiltern / railforums discussion</t>
        </is>
      </c>
      <c r="B11" s="9" t="inlineStr">
        <is>
          <t>https://www.railforums.co.uk/threads/chiltern-apprentice-train-driver-recruitment-discussion.281912/</t>
        </is>
      </c>
      <c r="C11" s="7" t="inlineStr">
        <is>
          <t>Salary, qualified pay</t>
        </is>
      </c>
    </row>
    <row r="12">
      <c r="A12" s="7" t="inlineStr">
        <is>
          <t>GWR / First Group careers</t>
        </is>
      </c>
      <c r="B12" s="9" t="inlineStr">
        <is>
          <t>https://careers.firstgroup.co.uk/</t>
        </is>
      </c>
      <c r="C12" s="7" t="inlineStr">
        <is>
          <t>Salary, age, location</t>
        </is>
      </c>
    </row>
    <row r="13">
      <c r="A13" s="7" t="inlineStr">
        <is>
          <t>DB Cargo / GBRf</t>
        </is>
      </c>
      <c r="B13" s="9" t="inlineStr">
        <is>
          <t>https://careers.gbrailfreight.com/</t>
        </is>
      </c>
      <c r="C13" s="7" t="inlineStr">
        <is>
          <t>Freight salaries</t>
        </is>
      </c>
    </row>
    <row r="14">
      <c r="A14" s="7" t="inlineStr">
        <is>
          <t>UK train driver salary summary</t>
        </is>
      </c>
      <c r="B14" s="9" t="inlineStr">
        <is>
          <t>https://salarytax.uk/professions/train-driver</t>
        </is>
      </c>
      <c r="C14" s="7" t="inlineStr">
        <is>
          <t>Industry salary context, age-rule note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2026-10-04T16:48:33Z</dcterms:created>
  <dcterms:modified xsi:type="dcterms:W3CDTF">2026-10-04T16:48:33Z</dcterms:modified>
</cp:coreProperties>
</file>